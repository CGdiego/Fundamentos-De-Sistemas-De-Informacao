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back" sheetId="1" r:id="rId5"/>
    <sheet state="visible" name="VPL" sheetId="2" r:id="rId6"/>
    <sheet state="visible" name="TIR" sheetId="3" r:id="rId7"/>
    <sheet state="visible" name="ROI" sheetId="4" r:id="rId8"/>
  </sheets>
  <definedNames/>
  <calcPr/>
</workbook>
</file>

<file path=xl/sharedStrings.xml><?xml version="1.0" encoding="utf-8"?>
<sst xmlns="http://schemas.openxmlformats.org/spreadsheetml/2006/main" count="53" uniqueCount="45">
  <si>
    <t>VALORES</t>
  </si>
  <si>
    <t>Preço da impressora laser (R$)</t>
  </si>
  <si>
    <t>Preço cartucho jato de tinta (R$)</t>
  </si>
  <si>
    <t>Páginas por cartucho jato de tinta</t>
  </si>
  <si>
    <t>Preço cartucho laser (R$)</t>
  </si>
  <si>
    <t>Páginas por cartucho laser</t>
  </si>
  <si>
    <t>Páginas impressas por mês</t>
  </si>
  <si>
    <t>CÁLCULO</t>
  </si>
  <si>
    <t>Custo por página: jato de tinta (R$)</t>
  </si>
  <si>
    <t>Custo por página: laser (R$)</t>
  </si>
  <si>
    <t>Economia mensal (R$)</t>
  </si>
  <si>
    <t>Payback (meses)</t>
  </si>
  <si>
    <t>Taxa de juros mensal</t>
  </si>
  <si>
    <t>Número de parcelas</t>
  </si>
  <si>
    <t>Valor da parcela (R$)</t>
  </si>
  <si>
    <t>Preço à vista (R$)</t>
  </si>
  <si>
    <t>Valor presente das parcelas (R$)</t>
  </si>
  <si>
    <t>Melhor opção</t>
  </si>
  <si>
    <t>Valor à vista (R$)</t>
  </si>
  <si>
    <t>FLUXO DE CAIXA</t>
  </si>
  <si>
    <t>Mês 0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</si>
  <si>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</si>
  <si>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</si>
  <si>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</si>
  <si>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</si>
  <si>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</si>
  <si>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</si>
  <si>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</si>
  <si>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</si>
  <si>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</si>
  <si>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</si>
  <si>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</si>
  <si>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</si>
  <si>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Mês 13</t>
  </si>
  <si>
    <t>Mês 14</t>
  </si>
  <si>
    <t>Mês 15</t>
  </si>
  <si>
    <t>Mês 16</t>
  </si>
  <si>
    <t>Mês 17</t>
  </si>
  <si>
    <t>Mês 18</t>
  </si>
  <si>
    <t>Mês 19</t>
  </si>
  <si>
    <t>Mês 20</t>
  </si>
  <si>
    <t>TIR (mensal)</t>
  </si>
  <si>
    <t>Investimento inicial (R$)</t>
  </si>
  <si>
    <t>Economia anual gerada (R$)</t>
  </si>
  <si>
    <t>ROI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</si>
</sst>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2" fontId="4" numFmtId="0" xfId="0" applyAlignment="1" applyFont="1">
      <alignment horizontal="center" vertical="bottom"/>
    </xf>
    <xf borderId="0" fillId="3" fontId="5" numFmtId="0" xfId="0" applyAlignment="1" applyFont="1">
      <alignment readingOrder="0" vertical="bottom"/>
    </xf>
    <xf borderId="0" fillId="3" fontId="5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1" t="s">
        <v>0</v>
      </c>
    </row>
    <row r="2">
      <c r="A2" s="2" t="s">
        <v>1</v>
      </c>
      <c r="B2" s="2">
        <v>899.01</v>
      </c>
    </row>
    <row r="3">
      <c r="A3" s="2" t="s">
        <v>2</v>
      </c>
      <c r="B3" s="2">
        <v>79.9</v>
      </c>
    </row>
    <row r="4">
      <c r="A4" s="2" t="s">
        <v>3</v>
      </c>
      <c r="B4" s="2">
        <v>89.0</v>
      </c>
    </row>
    <row r="5">
      <c r="A5" s="2" t="s">
        <v>4</v>
      </c>
      <c r="B5" s="2">
        <v>414.13</v>
      </c>
    </row>
    <row r="6">
      <c r="A6" s="2" t="s">
        <v>5</v>
      </c>
      <c r="B6" s="3">
        <v>4000.0</v>
      </c>
    </row>
    <row r="7">
      <c r="A7" s="4" t="s">
        <v>6</v>
      </c>
      <c r="B7" s="2">
        <v>100.0</v>
      </c>
    </row>
    <row r="8">
      <c r="A8" s="1" t="s">
        <v>7</v>
      </c>
    </row>
    <row r="9">
      <c r="A9" s="2" t="s">
        <v>8</v>
      </c>
      <c r="B9" s="5">
        <f>B3/B4</f>
        <v>0.897752809</v>
      </c>
    </row>
    <row r="10">
      <c r="A10" s="2" t="s">
        <v>9</v>
      </c>
      <c r="B10" s="5">
        <f>B5/B6</f>
        <v>0.1035325</v>
      </c>
    </row>
    <row r="11">
      <c r="A11" s="2" t="s">
        <v>10</v>
      </c>
      <c r="B11" s="2">
        <f>(B9-B10)*B7</f>
        <v>79.4220309</v>
      </c>
    </row>
    <row r="12">
      <c r="A12" s="6" t="s">
        <v>11</v>
      </c>
      <c r="B12" s="6">
        <f>B2/B11</f>
        <v>11.31940332</v>
      </c>
    </row>
  </sheetData>
  <mergeCells count="2">
    <mergeCell ref="A1:B1"/>
    <mergeCell ref="A8:B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1" t="s">
        <v>0</v>
      </c>
    </row>
    <row r="2">
      <c r="A2" s="2" t="s">
        <v>12</v>
      </c>
      <c r="B2" s="7">
        <v>0.005</v>
      </c>
    </row>
    <row r="3">
      <c r="A3" s="2" t="s">
        <v>13</v>
      </c>
      <c r="B3" s="2">
        <v>20.0</v>
      </c>
    </row>
    <row r="4">
      <c r="A4" s="2" t="s">
        <v>14</v>
      </c>
      <c r="B4" s="2">
        <v>100.0</v>
      </c>
    </row>
    <row r="5">
      <c r="A5" s="2" t="s">
        <v>15</v>
      </c>
      <c r="B5" s="2">
        <v>1750.0</v>
      </c>
    </row>
    <row r="6">
      <c r="A6" s="1" t="s">
        <v>7</v>
      </c>
    </row>
    <row r="7">
      <c r="A7" s="2" t="s">
        <v>16</v>
      </c>
      <c r="B7" s="5">
        <f>ABS(PV(B2,B3,B4))</f>
        <v>1898.741915</v>
      </c>
    </row>
    <row r="8">
      <c r="A8" s="6" t="s">
        <v>17</v>
      </c>
      <c r="B8" s="6" t="str">
        <f>IF(ABS(B7)&lt;B5,"À prazo","À vista")</f>
        <v>À vista</v>
      </c>
    </row>
  </sheetData>
  <mergeCells count="2">
    <mergeCell ref="A1:B1"/>
    <mergeCell ref="A6:B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0</v>
      </c>
    </row>
    <row r="2">
      <c r="A2" s="2" t="s">
        <v>18</v>
      </c>
      <c r="B2" s="2">
        <v>1750.0</v>
      </c>
    </row>
    <row r="3">
      <c r="A3" s="2" t="s">
        <v>14</v>
      </c>
      <c r="B3" s="2">
        <v>100.0</v>
      </c>
    </row>
    <row r="4">
      <c r="A4" s="2" t="s">
        <v>13</v>
      </c>
      <c r="B4" s="2">
        <v>20.0</v>
      </c>
    </row>
    <row r="5">
      <c r="A5" s="1" t="s">
        <v>19</v>
      </c>
    </row>
    <row r="6">
      <c r="A6" s="2" t="s">
        <v>20</v>
      </c>
      <c r="B6" s="5">
        <f>-B2</f>
        <v>-1750</v>
      </c>
    </row>
    <row r="7">
      <c r="A7" s="2" t="s">
        <v>21</v>
      </c>
      <c r="B7" s="5">
        <f>B3</f>
        <v>100</v>
      </c>
    </row>
    <row r="8">
      <c r="A8" s="2" t="s">
        <v>22</v>
      </c>
      <c r="B8" s="5">
        <f>B3</f>
        <v>100</v>
      </c>
    </row>
    <row r="9">
      <c r="A9" s="2" t="s">
        <v>23</v>
      </c>
      <c r="B9" s="5">
        <f>B3</f>
        <v>100</v>
      </c>
    </row>
    <row r="10">
      <c r="A10" s="2" t="s">
        <v>24</v>
      </c>
      <c r="B10" s="5">
        <f>B3</f>
        <v>100</v>
      </c>
    </row>
    <row r="11">
      <c r="A11" s="2" t="s">
        <v>25</v>
      </c>
      <c r="B11" s="5">
        <f>B3</f>
        <v>100</v>
      </c>
    </row>
    <row r="12">
      <c r="A12" s="2" t="s">
        <v>26</v>
      </c>
      <c r="B12" s="5">
        <f>B3</f>
        <v>100</v>
      </c>
    </row>
    <row r="13">
      <c r="A13" s="2" t="s">
        <v>27</v>
      </c>
      <c r="B13" s="5">
        <f>B3</f>
        <v>100</v>
      </c>
    </row>
    <row r="14">
      <c r="A14" s="2" t="s">
        <v>28</v>
      </c>
      <c r="B14" s="5">
        <f>B3</f>
        <v>100</v>
      </c>
    </row>
    <row r="15">
      <c r="A15" s="2" t="s">
        <v>29</v>
      </c>
      <c r="B15" s="5">
        <f>B3</f>
        <v>100</v>
      </c>
    </row>
    <row r="16">
      <c r="A16" s="2" t="s">
        <v>30</v>
      </c>
      <c r="B16" s="5">
        <f>B3</f>
        <v>100</v>
      </c>
    </row>
    <row r="17">
      <c r="A17" s="2" t="s">
        <v>31</v>
      </c>
      <c r="B17" s="5">
        <f>B3</f>
        <v>100</v>
      </c>
    </row>
    <row r="18">
      <c r="A18" s="2" t="s">
        <v>32</v>
      </c>
      <c r="B18" s="5">
        <f>B3</f>
        <v>100</v>
      </c>
    </row>
    <row r="19">
      <c r="A19" s="2" t="s">
        <v>33</v>
      </c>
      <c r="B19" s="5">
        <f>B3</f>
        <v>100</v>
      </c>
    </row>
    <row r="20">
      <c r="A20" s="2" t="s">
        <v>34</v>
      </c>
      <c r="B20" s="5">
        <f>B3</f>
        <v>100</v>
      </c>
    </row>
    <row r="21">
      <c r="A21" s="2" t="s">
        <v>35</v>
      </c>
      <c r="B21" s="5">
        <f>B3</f>
        <v>100</v>
      </c>
    </row>
    <row r="22">
      <c r="A22" s="2" t="s">
        <v>36</v>
      </c>
      <c r="B22" s="5">
        <f>B3</f>
        <v>100</v>
      </c>
    </row>
    <row r="23">
      <c r="A23" s="2" t="s">
        <v>37</v>
      </c>
      <c r="B23" s="5">
        <f>B3</f>
        <v>100</v>
      </c>
    </row>
    <row r="24">
      <c r="A24" s="2" t="s">
        <v>38</v>
      </c>
      <c r="B24" s="5">
        <f>B3</f>
        <v>100</v>
      </c>
    </row>
    <row r="25">
      <c r="A25" s="2" t="s">
        <v>39</v>
      </c>
      <c r="B25" s="5">
        <f>B3</f>
        <v>100</v>
      </c>
    </row>
    <row r="26">
      <c r="A26" s="2" t="s">
        <v>40</v>
      </c>
      <c r="B26" s="5">
        <f>B3</f>
        <v>100</v>
      </c>
    </row>
    <row r="27">
      <c r="A27" s="8" t="s">
        <v>7</v>
      </c>
    </row>
    <row r="28">
      <c r="A28" s="9" t="s">
        <v>41</v>
      </c>
      <c r="B28" s="10">
        <f>IRR(B6:B26)</f>
        <v>0.01306871132</v>
      </c>
    </row>
  </sheetData>
  <mergeCells count="3">
    <mergeCell ref="A1:B1"/>
    <mergeCell ref="A5:B5"/>
    <mergeCell ref="A27:B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</row>
    <row r="2">
      <c r="A2" s="2" t="s">
        <v>42</v>
      </c>
      <c r="B2" s="2">
        <v>943.07</v>
      </c>
    </row>
    <row r="3">
      <c r="A3" s="2" t="s">
        <v>43</v>
      </c>
      <c r="B3" s="2">
        <v>123.96</v>
      </c>
    </row>
    <row r="4">
      <c r="A4" s="1" t="s">
        <v>7</v>
      </c>
    </row>
    <row r="5">
      <c r="A5" s="6" t="s">
        <v>44</v>
      </c>
      <c r="B5" s="6">
        <f>(B3/B2)*100</f>
        <v>13.1443053</v>
      </c>
    </row>
  </sheetData>
  <mergeCells count="2">
    <mergeCell ref="A1:B1"/>
    <mergeCell ref="A4:B4"/>
  </mergeCells>
  <drawing r:id="rId1"/>
</worksheet>
</file>